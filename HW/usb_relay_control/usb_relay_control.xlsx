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GitHub\Controller_Circuit\HW\usb_relay_control\"/>
    </mc:Choice>
  </mc:AlternateContent>
  <xr:revisionPtr revIDLastSave="0" documentId="13_ncr:40009_{57D4FF7D-61B3-4796-9F72-909C24EE6F50}" xr6:coauthVersionLast="47" xr6:coauthVersionMax="47" xr10:uidLastSave="{00000000-0000-0000-0000-000000000000}"/>
  <bookViews>
    <workbookView xWindow="-120" yWindow="-120" windowWidth="29040" windowHeight="16440"/>
  </bookViews>
  <sheets>
    <sheet name="usb_relay_control" sheetId="1" r:id="rId1"/>
  </sheets>
  <definedNames>
    <definedName name="_xlnm._FilterDatabase" localSheetId="0" hidden="1">usb_relay_control!$A$1:$G$46</definedName>
  </definedNames>
  <calcPr calcId="0"/>
</workbook>
</file>

<file path=xl/calcChain.xml><?xml version="1.0" encoding="utf-8"?>
<calcChain xmlns="http://schemas.openxmlformats.org/spreadsheetml/2006/main">
  <c r="B3" i="1" l="1"/>
  <c r="F14" i="1"/>
</calcChain>
</file>

<file path=xl/sharedStrings.xml><?xml version="1.0" encoding="utf-8"?>
<sst xmlns="http://schemas.openxmlformats.org/spreadsheetml/2006/main" count="248" uniqueCount="164">
  <si>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</si>
  <si>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</si>
  <si>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</si>
  <si>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</si>
  <si>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</si>
  <si>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</si>
  <si>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</si>
  <si>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</si>
  <si>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 xml:space="preserve">C1, C2, </t>
  </si>
  <si>
    <t>8pF</t>
  </si>
  <si>
    <t>C_Small</t>
  </si>
  <si>
    <t>Capacitor_SMD:C_0603_1608Metric</t>
  </si>
  <si>
    <t>Unpolarized capacitor, small symbol</t>
  </si>
  <si>
    <t>4u7</t>
  </si>
  <si>
    <t xml:space="preserve">C4, C5, C7, C8, C9, C15, C16, C17, C18, C20, C24, C25, C27, C28, C29, C30, </t>
  </si>
  <si>
    <t>0.1uF</t>
  </si>
  <si>
    <t xml:space="preserve">C6, C11, </t>
  </si>
  <si>
    <t>1uF</t>
  </si>
  <si>
    <t xml:space="preserve">C12, C13, C23, C26, C31, </t>
  </si>
  <si>
    <t>10nF</t>
  </si>
  <si>
    <t xml:space="preserve">C19, </t>
  </si>
  <si>
    <t>4.7nF</t>
  </si>
  <si>
    <t>RED LED</t>
  </si>
  <si>
    <t>LED_Small</t>
  </si>
  <si>
    <t>LED_SMD:LED_0805_2012Metric</t>
  </si>
  <si>
    <t>Light emitting diode, small symbol</t>
  </si>
  <si>
    <t xml:space="preserve">D3, </t>
  </si>
  <si>
    <t>GREEN LED</t>
  </si>
  <si>
    <t>Light emitting diode</t>
  </si>
  <si>
    <t xml:space="preserve">D4, </t>
  </si>
  <si>
    <t>BLUE LED</t>
  </si>
  <si>
    <t xml:space="preserve">D5, D9, D10, D18, D19, </t>
  </si>
  <si>
    <t>PRTR5V0U2X</t>
  </si>
  <si>
    <t>Package_TO_SOT_SMD:SOT-143</t>
  </si>
  <si>
    <t>Ultra low capacitance double rail-to-rail ESD protection diode, SOT-143</t>
  </si>
  <si>
    <t xml:space="preserve">D6, D7, </t>
  </si>
  <si>
    <t>LL4148</t>
  </si>
  <si>
    <t>Diode_SMD:D_MiniMELF</t>
  </si>
  <si>
    <t>100V 0.15A standard switching diode, MiniMELF</t>
  </si>
  <si>
    <t xml:space="preserve">D11, D12, D14, </t>
  </si>
  <si>
    <t>BZY55B3V3_RBG</t>
  </si>
  <si>
    <t>BZY55B3V3_RBG:BZY55B3V3RBG</t>
  </si>
  <si>
    <t xml:space="preserve">F1, F2, F3, </t>
  </si>
  <si>
    <t>1A</t>
  </si>
  <si>
    <t>Fuse_Small</t>
  </si>
  <si>
    <t>Fuse:Fuse_0805_2012Metric</t>
  </si>
  <si>
    <t>Fuse, small symbol</t>
  </si>
  <si>
    <t xml:space="preserve">FB1, FB2, FB3, </t>
  </si>
  <si>
    <t>100 Ohm @ 100MHz</t>
  </si>
  <si>
    <t>FerriteBead_Small</t>
  </si>
  <si>
    <t>Inductor_SMD:L_0805_2012Metric</t>
  </si>
  <si>
    <t>Ferrite bead, small symbol</t>
  </si>
  <si>
    <t xml:space="preserve">H1, H2, H3, H4, </t>
  </si>
  <si>
    <t>MountingHole_Pad</t>
  </si>
  <si>
    <t>MountingHole:MountingHole_2.5mm_Pad_Via</t>
  </si>
  <si>
    <t>Mounting Hole with connection</t>
  </si>
  <si>
    <t xml:space="preserve">IC1, </t>
  </si>
  <si>
    <t>LDL1117S33R</t>
  </si>
  <si>
    <t>LDL1117s33:SOT230P700X180-4N</t>
  </si>
  <si>
    <t>STMICROELECTRONICS - LDL1117S33R - LDO, FIXED, 3.3V, 1.2A, SOT-223-3</t>
  </si>
  <si>
    <t xml:space="preserve">IC2, IC3, </t>
  </si>
  <si>
    <t>SIP32509DT-T1-GE3</t>
  </si>
  <si>
    <t>SIP32509DT-T1-GE3:SOT95P284X110-6N</t>
  </si>
  <si>
    <t>Power Switch ICs - Power Distribution 1.1V to 5.5V Slew Rt 3A Cntrld Load Swtch</t>
  </si>
  <si>
    <t xml:space="preserve">J1, </t>
  </si>
  <si>
    <t>8.06.04_J-LINK_NEEDLE_ADAPTER</t>
  </si>
  <si>
    <t>8.06:SEGGER_8.06.04_J-LINK_NEEDLE_ADAPTER</t>
  </si>
  <si>
    <t xml:space="preserve">J2, J8, J9, </t>
  </si>
  <si>
    <t>USB_B_Micro</t>
  </si>
  <si>
    <t>Connector_USB:USB_Mini-B_Lumberg_2486_01_Horizontal</t>
  </si>
  <si>
    <t>USB Micro Type B connector</t>
  </si>
  <si>
    <t xml:space="preserve">J3, J13, J14, J15, J17, J18, </t>
  </si>
  <si>
    <t>Conn_01x03_Male</t>
  </si>
  <si>
    <t>Connector_PinHeader_2.54mm:PinHeader_1x03_P2.54mm_Vertical</t>
  </si>
  <si>
    <t>Generic connector, single row, 01x03, script generated (kicad-library-utils/schlib/autogen/connector/)</t>
  </si>
  <si>
    <t xml:space="preserve">J4, </t>
  </si>
  <si>
    <t>Conn_01x04_Male</t>
  </si>
  <si>
    <t>Connector_PinHeader_2.54mm:PinHeader_1x04_P2.54mm_Vertical</t>
  </si>
  <si>
    <t>Generic connector, single row, 01x04, script generated (kicad-library-utils/schlib/autogen/connector/)</t>
  </si>
  <si>
    <t xml:space="preserve">J5, J19, </t>
  </si>
  <si>
    <t>Conn_01x05_Male</t>
  </si>
  <si>
    <t>Connector_PinHeader_2.54mm:PinHeader_1x05_P2.54mm_Vertical</t>
  </si>
  <si>
    <t>Generic connector, single row, 01x05, script generated (kicad-library-utils/schlib/autogen/connector/)</t>
  </si>
  <si>
    <t xml:space="preserve">J6, J7, </t>
  </si>
  <si>
    <t>Screw_Terminal_01x04</t>
  </si>
  <si>
    <t>TerminalBlock_Phoenix:TerminalBlock_Phoenix_MKDS-1,5-4_1x04_P5.00mm_Horizontal</t>
  </si>
  <si>
    <t>Generic screw terminal, single row, 01x04, script generated (kicad-library-utils/schlib/autogen/connector/)</t>
  </si>
  <si>
    <t xml:space="preserve">J10, </t>
  </si>
  <si>
    <t>2301843-2</t>
  </si>
  <si>
    <t>2301843-2:23018432</t>
  </si>
  <si>
    <t>TE CONNECTIVITY - 2301843-2 - D-SUB CONN, PLUG, 9POS, THROUGH HOLE</t>
  </si>
  <si>
    <t xml:space="preserve">J11, J12, </t>
  </si>
  <si>
    <t>USB_A</t>
  </si>
  <si>
    <t>292303-9:J_SMD_292303-9-4_2,2.5_14.85_14.06_8.9</t>
  </si>
  <si>
    <t>USB Type A connector</t>
  </si>
  <si>
    <t xml:space="preserve">J16, J20, J21, </t>
  </si>
  <si>
    <t>Conn_01x02_Male</t>
  </si>
  <si>
    <t>Connector_PinHeader_2.54mm:PinHeader_1x02_P2.54mm_Vertical</t>
  </si>
  <si>
    <t>Generic connector, single row, 01x02, script generated (kicad-library-utils/schlib/autogen/connector/)</t>
  </si>
  <si>
    <t xml:space="preserve">K1, K2, </t>
  </si>
  <si>
    <t>SRD-05VDC-SL-C</t>
  </si>
  <si>
    <t>SRD-05VDC-SL-C:RELAY_SRD-05VDC-SL-C</t>
  </si>
  <si>
    <t xml:space="preserve">Q1, </t>
  </si>
  <si>
    <t>Q_NPN_BEC MMBT3904-ND</t>
  </si>
  <si>
    <t>Q_NPN_BEC</t>
  </si>
  <si>
    <t>Package_TO_SOT_SMD:SOT-23</t>
  </si>
  <si>
    <t>NPN transistor, base/emitter/collector</t>
  </si>
  <si>
    <t xml:space="preserve">Q2, </t>
  </si>
  <si>
    <t>MMBT3904-ND</t>
  </si>
  <si>
    <t xml:space="preserve">R1, R3, </t>
  </si>
  <si>
    <t>R_Small</t>
  </si>
  <si>
    <t>Resistor_SMD:R_0603_1608Metric</t>
  </si>
  <si>
    <t>Resistor, small symbol</t>
  </si>
  <si>
    <t xml:space="preserve">R2, R6, R13, R18, R19, R24, R25, R26, </t>
  </si>
  <si>
    <t>10K</t>
  </si>
  <si>
    <t xml:space="preserve">R4, </t>
  </si>
  <si>
    <t xml:space="preserve">R5, </t>
  </si>
  <si>
    <t xml:space="preserve">R7, R9, </t>
  </si>
  <si>
    <t>20m</t>
  </si>
  <si>
    <t>Resistor_SMD:R_2010_5025Metric</t>
  </si>
  <si>
    <t xml:space="preserve">R8, R10, </t>
  </si>
  <si>
    <t>124k</t>
  </si>
  <si>
    <t xml:space="preserve">R11, R12, </t>
  </si>
  <si>
    <t>47k</t>
  </si>
  <si>
    <t xml:space="preserve">R14, R15, R27, R28, R31, R32, </t>
  </si>
  <si>
    <t>1K</t>
  </si>
  <si>
    <t xml:space="preserve">R16, R20, R30, </t>
  </si>
  <si>
    <t xml:space="preserve">R17, R23, </t>
  </si>
  <si>
    <t>1.78k</t>
  </si>
  <si>
    <t xml:space="preserve">R21, R22, </t>
  </si>
  <si>
    <t>32m</t>
  </si>
  <si>
    <t>Resistor_SMD:R_2512_6332Metric</t>
  </si>
  <si>
    <t xml:space="preserve">R29, R35, R38, </t>
  </si>
  <si>
    <t xml:space="preserve">R33, R34, </t>
  </si>
  <si>
    <t>60.4 Ohm</t>
  </si>
  <si>
    <t xml:space="preserve">R36, R37, R39, R40, </t>
  </si>
  <si>
    <t>10K_DNP</t>
  </si>
  <si>
    <t xml:space="preserve">R41, R42, R43, </t>
  </si>
  <si>
    <t xml:space="preserve">SW1, SW2, </t>
  </si>
  <si>
    <t>SW_Push</t>
  </si>
  <si>
    <t>Button_Switch_SMD:SW_SPST_B3U-1000P</t>
  </si>
  <si>
    <t>Push button switch, generic, two pins</t>
  </si>
  <si>
    <t xml:space="preserve">U1, </t>
  </si>
  <si>
    <t>STM32F103CBTx</t>
  </si>
  <si>
    <t>Package_QFP:LQFP-48_7x7mm_P0.5mm</t>
  </si>
  <si>
    <t>ARM Cortex-M3 MCU, 128KB flash, 20KB RAM, 72MHz, 2-3.6V, 37 GPIO, LQFP-48</t>
  </si>
  <si>
    <t xml:space="preserve">U2, </t>
  </si>
  <si>
    <t>INA2181A3QDGSRQ1</t>
  </si>
  <si>
    <t>ul_INA2181A3QDGSRQ1:INA2181A3QDGSRQ1</t>
  </si>
  <si>
    <t xml:space="preserve">U3, </t>
  </si>
  <si>
    <t>TJA1051T-3</t>
  </si>
  <si>
    <t>Package_SO:SOIC-8_3.9x4.9mm_P1.27mm</t>
  </si>
  <si>
    <t>High-Speed CAN Transceiver, separate VIO, silent mode, SOIC-8</t>
  </si>
  <si>
    <t xml:space="preserve">U4, </t>
  </si>
  <si>
    <t>INA2181A1IDGSR</t>
  </si>
  <si>
    <t>ul_INA2181A1IDGSR:INA2181A1IDGSR</t>
  </si>
  <si>
    <t xml:space="preserve">Y1, </t>
  </si>
  <si>
    <t>16 MHz Crystal</t>
  </si>
  <si>
    <t>Crystal_GND24_Small</t>
  </si>
  <si>
    <t>Crystal:Crystal_SMD_SeikoEpson_FA238-4Pin_3.2x2.5mm</t>
  </si>
  <si>
    <t>Four pin crystal, GND on pins 2 and 4, small symbol</t>
  </si>
  <si>
    <t>calculated count</t>
  </si>
  <si>
    <t xml:space="preserve">C3, C14, C21, C22, C10, </t>
  </si>
  <si>
    <t xml:space="preserve">D1, D2, D16, D17, D8, D13,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</si>
</sst>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view="pageBreakPreview" zoomScaleNormal="100" zoomScaleSheetLayoutView="100" workbookViewId="0">
      <pane ySplit="1" topLeftCell="A2" activePane="bottomLeft" state="frozen"/>
      <selection pane="bottomLeft" activeCell="B4" sqref="B4:B53"/>
    </sheetView>
  </sheetViews>
  <sheetFormatPr defaultRowHeight="15" x14ac:dyDescent="0.25"/>
  <cols>
    <col min="1" max="1" width="64.140625" bestFit="1" customWidth="1"/>
    <col min="2" max="2" width="8.140625" style="1" customWidth="1"/>
    <col min="3" max="3" width="31" style="1" bestFit="1" customWidth="1"/>
    <col min="5" max="5" width="81.140625" bestFit="1" customWidth="1"/>
    <col min="6" max="6" width="98.140625" bestFit="1" customWidth="1"/>
  </cols>
  <sheetData>
    <row r="1" spans="1:7" x14ac:dyDescent="0.25">
      <c r="A1" t="s">
        <v>1</v>
      </c>
      <c r="B1" s="1" t="s">
        <v>2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0</v>
      </c>
      <c r="B2" s="1">
        <v>137</v>
      </c>
    </row>
    <row r="3" spans="1:7" x14ac:dyDescent="0.25">
      <c r="A3" t="s">
        <v>161</v>
      </c>
      <c r="B3" s="1">
        <f>SUM(B1:B1)</f>
        <v>0</v>
      </c>
    </row>
    <row r="4" spans="1:7" x14ac:dyDescent="0.25">
      <c r="A4" t="s">
        <v>14</v>
      </c>
      <c r="B4" s="1">
        <v>16</v>
      </c>
      <c r="C4" s="1" t="s">
        <v>15</v>
      </c>
      <c r="D4" t="s">
        <v>10</v>
      </c>
      <c r="E4" t="s">
        <v>11</v>
      </c>
      <c r="F4" t="s">
        <v>12</v>
      </c>
    </row>
    <row r="5" spans="1:7" x14ac:dyDescent="0.25">
      <c r="A5" t="s">
        <v>113</v>
      </c>
      <c r="B5" s="1">
        <v>8</v>
      </c>
      <c r="C5" s="1" t="s">
        <v>114</v>
      </c>
      <c r="D5" t="s">
        <v>110</v>
      </c>
      <c r="E5" t="s">
        <v>111</v>
      </c>
      <c r="F5" t="s">
        <v>112</v>
      </c>
    </row>
    <row r="6" spans="1:7" x14ac:dyDescent="0.25">
      <c r="A6" t="s">
        <v>163</v>
      </c>
      <c r="B6" s="1">
        <v>6</v>
      </c>
      <c r="C6" s="1" t="s">
        <v>22</v>
      </c>
      <c r="D6" t="s">
        <v>23</v>
      </c>
      <c r="E6" t="s">
        <v>24</v>
      </c>
      <c r="F6" t="s">
        <v>25</v>
      </c>
    </row>
    <row r="7" spans="1:7" x14ac:dyDescent="0.25">
      <c r="A7" t="s">
        <v>124</v>
      </c>
      <c r="B7" s="1">
        <v>6</v>
      </c>
      <c r="C7" s="1" t="s">
        <v>125</v>
      </c>
      <c r="D7" t="s">
        <v>110</v>
      </c>
      <c r="E7" t="s">
        <v>111</v>
      </c>
      <c r="F7" t="s">
        <v>112</v>
      </c>
    </row>
    <row r="8" spans="1:7" x14ac:dyDescent="0.25">
      <c r="A8" t="s">
        <v>71</v>
      </c>
      <c r="B8" s="1">
        <v>6</v>
      </c>
      <c r="C8" s="1" t="s">
        <v>72</v>
      </c>
      <c r="D8" t="s">
        <v>72</v>
      </c>
      <c r="E8" t="s">
        <v>73</v>
      </c>
      <c r="F8" t="s">
        <v>74</v>
      </c>
    </row>
    <row r="9" spans="1:7" x14ac:dyDescent="0.25">
      <c r="A9" t="s">
        <v>162</v>
      </c>
      <c r="B9" s="1">
        <v>5</v>
      </c>
      <c r="C9" s="1" t="s">
        <v>13</v>
      </c>
      <c r="D9" t="s">
        <v>10</v>
      </c>
      <c r="E9" t="s">
        <v>11</v>
      </c>
      <c r="F9" t="s">
        <v>12</v>
      </c>
    </row>
    <row r="10" spans="1:7" x14ac:dyDescent="0.25">
      <c r="A10" t="s">
        <v>18</v>
      </c>
      <c r="B10" s="1">
        <v>5</v>
      </c>
      <c r="C10" s="1" t="s">
        <v>19</v>
      </c>
      <c r="D10" t="s">
        <v>10</v>
      </c>
      <c r="E10" t="s">
        <v>11</v>
      </c>
      <c r="F10" t="s">
        <v>12</v>
      </c>
    </row>
    <row r="11" spans="1:7" x14ac:dyDescent="0.25">
      <c r="A11" t="s">
        <v>31</v>
      </c>
      <c r="B11" s="1">
        <v>5</v>
      </c>
      <c r="C11" s="1" t="s">
        <v>32</v>
      </c>
      <c r="D11" t="s">
        <v>32</v>
      </c>
      <c r="E11" t="s">
        <v>33</v>
      </c>
      <c r="F11" t="s">
        <v>34</v>
      </c>
    </row>
    <row r="12" spans="1:7" x14ac:dyDescent="0.25">
      <c r="A12" t="s">
        <v>135</v>
      </c>
      <c r="B12" s="1">
        <v>4</v>
      </c>
      <c r="C12" s="1" t="s">
        <v>136</v>
      </c>
      <c r="D12" t="s">
        <v>110</v>
      </c>
      <c r="E12" t="s">
        <v>111</v>
      </c>
      <c r="F12" t="s">
        <v>112</v>
      </c>
    </row>
    <row r="13" spans="1:7" x14ac:dyDescent="0.25">
      <c r="A13" t="s">
        <v>52</v>
      </c>
      <c r="B13" s="1">
        <v>4</v>
      </c>
      <c r="C13" s="1" t="s">
        <v>53</v>
      </c>
      <c r="D13" t="s">
        <v>53</v>
      </c>
      <c r="E13" t="s">
        <v>54</v>
      </c>
      <c r="F13" t="s">
        <v>55</v>
      </c>
    </row>
    <row r="14" spans="1:7" x14ac:dyDescent="0.25">
      <c r="A14" t="s">
        <v>39</v>
      </c>
      <c r="B14" s="1">
        <v>3</v>
      </c>
      <c r="C14" s="1" t="s">
        <v>40</v>
      </c>
      <c r="D14" t="s">
        <v>40</v>
      </c>
      <c r="E14" t="s">
        <v>41</v>
      </c>
      <c r="F14" t="e">
        <f>- Tape and Reel</f>
        <v>#NAME?</v>
      </c>
    </row>
    <row r="15" spans="1:7" x14ac:dyDescent="0.25">
      <c r="A15" t="s">
        <v>42</v>
      </c>
      <c r="B15" s="1">
        <v>3</v>
      </c>
      <c r="C15" s="1" t="s">
        <v>43</v>
      </c>
      <c r="D15" t="s">
        <v>44</v>
      </c>
      <c r="E15" t="s">
        <v>45</v>
      </c>
      <c r="F15" t="s">
        <v>46</v>
      </c>
    </row>
    <row r="16" spans="1:7" x14ac:dyDescent="0.25">
      <c r="A16" t="s">
        <v>47</v>
      </c>
      <c r="B16" s="1">
        <v>3</v>
      </c>
      <c r="C16" s="1" t="s">
        <v>48</v>
      </c>
      <c r="D16" t="s">
        <v>49</v>
      </c>
      <c r="E16" t="s">
        <v>50</v>
      </c>
      <c r="F16" t="s">
        <v>51</v>
      </c>
    </row>
    <row r="17" spans="1:6" x14ac:dyDescent="0.25">
      <c r="A17" t="s">
        <v>67</v>
      </c>
      <c r="B17" s="1">
        <v>3</v>
      </c>
      <c r="C17" s="1" t="s">
        <v>68</v>
      </c>
      <c r="D17" t="s">
        <v>68</v>
      </c>
      <c r="E17" t="s">
        <v>69</v>
      </c>
      <c r="F17" t="s">
        <v>70</v>
      </c>
    </row>
    <row r="18" spans="1:6" x14ac:dyDescent="0.25">
      <c r="A18" t="s">
        <v>126</v>
      </c>
      <c r="B18" s="1">
        <v>3</v>
      </c>
      <c r="C18" s="1">
        <v>10</v>
      </c>
      <c r="D18" t="s">
        <v>110</v>
      </c>
      <c r="E18" t="s">
        <v>111</v>
      </c>
      <c r="F18" t="s">
        <v>112</v>
      </c>
    </row>
    <row r="19" spans="1:6" x14ac:dyDescent="0.25">
      <c r="A19" t="s">
        <v>132</v>
      </c>
      <c r="B19" s="1">
        <v>3</v>
      </c>
      <c r="C19" s="1">
        <v>150</v>
      </c>
      <c r="D19" t="s">
        <v>110</v>
      </c>
      <c r="E19" t="s">
        <v>111</v>
      </c>
      <c r="F19" t="s">
        <v>112</v>
      </c>
    </row>
    <row r="20" spans="1:6" x14ac:dyDescent="0.25">
      <c r="A20" t="s">
        <v>137</v>
      </c>
      <c r="B20" s="1">
        <v>3</v>
      </c>
      <c r="C20" s="1">
        <v>0</v>
      </c>
      <c r="D20" t="s">
        <v>110</v>
      </c>
      <c r="E20" t="s">
        <v>111</v>
      </c>
      <c r="F20" t="s">
        <v>112</v>
      </c>
    </row>
    <row r="21" spans="1:6" x14ac:dyDescent="0.25">
      <c r="A21" t="s">
        <v>95</v>
      </c>
      <c r="B21" s="1">
        <v>3</v>
      </c>
      <c r="C21" s="1" t="s">
        <v>96</v>
      </c>
      <c r="D21" t="s">
        <v>96</v>
      </c>
      <c r="E21" t="s">
        <v>97</v>
      </c>
      <c r="F21" t="s">
        <v>98</v>
      </c>
    </row>
    <row r="22" spans="1:6" x14ac:dyDescent="0.25">
      <c r="A22" t="s">
        <v>8</v>
      </c>
      <c r="B22" s="1">
        <v>2</v>
      </c>
      <c r="C22" s="1" t="s">
        <v>9</v>
      </c>
      <c r="D22" t="s">
        <v>10</v>
      </c>
      <c r="E22" t="s">
        <v>11</v>
      </c>
      <c r="F22" t="s">
        <v>12</v>
      </c>
    </row>
    <row r="23" spans="1:6" x14ac:dyDescent="0.25">
      <c r="A23" t="s">
        <v>16</v>
      </c>
      <c r="B23" s="1">
        <v>2</v>
      </c>
      <c r="C23" s="1" t="s">
        <v>17</v>
      </c>
      <c r="D23" t="s">
        <v>10</v>
      </c>
      <c r="E23" t="s">
        <v>11</v>
      </c>
      <c r="F23" t="s">
        <v>12</v>
      </c>
    </row>
    <row r="24" spans="1:6" x14ac:dyDescent="0.25">
      <c r="A24" t="s">
        <v>35</v>
      </c>
      <c r="B24" s="1">
        <v>2</v>
      </c>
      <c r="C24" s="1" t="s">
        <v>36</v>
      </c>
      <c r="D24" t="s">
        <v>36</v>
      </c>
      <c r="E24" t="s">
        <v>37</v>
      </c>
      <c r="F24" t="s">
        <v>38</v>
      </c>
    </row>
    <row r="25" spans="1:6" x14ac:dyDescent="0.25">
      <c r="A25" t="s">
        <v>60</v>
      </c>
      <c r="B25" s="1">
        <v>2</v>
      </c>
      <c r="C25" s="1" t="s">
        <v>61</v>
      </c>
      <c r="D25" t="s">
        <v>61</v>
      </c>
      <c r="E25" t="s">
        <v>62</v>
      </c>
      <c r="F25" t="s">
        <v>63</v>
      </c>
    </row>
    <row r="26" spans="1:6" x14ac:dyDescent="0.25">
      <c r="A26" t="s">
        <v>83</v>
      </c>
      <c r="B26" s="1">
        <v>2</v>
      </c>
      <c r="C26" s="1" t="s">
        <v>84</v>
      </c>
      <c r="D26" t="s">
        <v>84</v>
      </c>
      <c r="E26" t="s">
        <v>85</v>
      </c>
      <c r="F26" t="s">
        <v>86</v>
      </c>
    </row>
    <row r="27" spans="1:6" x14ac:dyDescent="0.25">
      <c r="A27" t="s">
        <v>91</v>
      </c>
      <c r="B27" s="1">
        <v>2</v>
      </c>
      <c r="C27" s="1" t="s">
        <v>92</v>
      </c>
      <c r="D27" t="s">
        <v>92</v>
      </c>
      <c r="E27" t="s">
        <v>93</v>
      </c>
      <c r="F27" t="s">
        <v>94</v>
      </c>
    </row>
    <row r="28" spans="1:6" x14ac:dyDescent="0.25">
      <c r="A28" t="s">
        <v>109</v>
      </c>
      <c r="B28" s="1">
        <v>2</v>
      </c>
      <c r="C28" s="1">
        <v>332</v>
      </c>
      <c r="D28" t="s">
        <v>110</v>
      </c>
      <c r="E28" t="s">
        <v>111</v>
      </c>
      <c r="F28" t="s">
        <v>112</v>
      </c>
    </row>
    <row r="29" spans="1:6" x14ac:dyDescent="0.25">
      <c r="A29" t="s">
        <v>117</v>
      </c>
      <c r="B29" s="1">
        <v>2</v>
      </c>
      <c r="C29" s="1" t="s">
        <v>118</v>
      </c>
      <c r="D29" t="s">
        <v>110</v>
      </c>
      <c r="E29" t="s">
        <v>119</v>
      </c>
      <c r="F29" t="s">
        <v>112</v>
      </c>
    </row>
    <row r="30" spans="1:6" x14ac:dyDescent="0.25">
      <c r="A30" t="s">
        <v>120</v>
      </c>
      <c r="B30" s="1">
        <v>2</v>
      </c>
      <c r="C30" s="1" t="s">
        <v>121</v>
      </c>
      <c r="D30" t="s">
        <v>110</v>
      </c>
      <c r="E30" t="s">
        <v>111</v>
      </c>
      <c r="F30" t="s">
        <v>112</v>
      </c>
    </row>
    <row r="31" spans="1:6" x14ac:dyDescent="0.25">
      <c r="A31" t="s">
        <v>122</v>
      </c>
      <c r="B31" s="1">
        <v>2</v>
      </c>
      <c r="C31" s="1" t="s">
        <v>123</v>
      </c>
      <c r="D31" t="s">
        <v>110</v>
      </c>
      <c r="E31" t="s">
        <v>111</v>
      </c>
      <c r="F31" t="s">
        <v>112</v>
      </c>
    </row>
    <row r="32" spans="1:6" x14ac:dyDescent="0.25">
      <c r="A32" t="s">
        <v>127</v>
      </c>
      <c r="B32" s="1">
        <v>2</v>
      </c>
      <c r="C32" s="1" t="s">
        <v>128</v>
      </c>
      <c r="D32" t="s">
        <v>110</v>
      </c>
      <c r="E32" t="s">
        <v>111</v>
      </c>
      <c r="F32" t="s">
        <v>112</v>
      </c>
    </row>
    <row r="33" spans="1:6" x14ac:dyDescent="0.25">
      <c r="A33" t="s">
        <v>129</v>
      </c>
      <c r="B33" s="1">
        <v>2</v>
      </c>
      <c r="C33" s="1" t="s">
        <v>130</v>
      </c>
      <c r="D33" t="s">
        <v>110</v>
      </c>
      <c r="E33" t="s">
        <v>131</v>
      </c>
      <c r="F33" t="s">
        <v>112</v>
      </c>
    </row>
    <row r="34" spans="1:6" x14ac:dyDescent="0.25">
      <c r="A34" t="s">
        <v>133</v>
      </c>
      <c r="B34" s="1">
        <v>2</v>
      </c>
      <c r="C34" s="1" t="s">
        <v>134</v>
      </c>
      <c r="D34" t="s">
        <v>110</v>
      </c>
      <c r="E34" t="s">
        <v>111</v>
      </c>
      <c r="F34" t="s">
        <v>112</v>
      </c>
    </row>
    <row r="35" spans="1:6" x14ac:dyDescent="0.25">
      <c r="A35" t="s">
        <v>138</v>
      </c>
      <c r="B35" s="1">
        <v>2</v>
      </c>
      <c r="C35" s="1" t="s">
        <v>139</v>
      </c>
      <c r="D35" t="s">
        <v>139</v>
      </c>
      <c r="E35" t="s">
        <v>140</v>
      </c>
      <c r="F35" t="s">
        <v>141</v>
      </c>
    </row>
    <row r="36" spans="1:6" x14ac:dyDescent="0.25">
      <c r="A36" t="s">
        <v>79</v>
      </c>
      <c r="B36" s="1">
        <v>2</v>
      </c>
      <c r="C36" s="1" t="s">
        <v>80</v>
      </c>
      <c r="D36" t="s">
        <v>80</v>
      </c>
      <c r="E36" t="s">
        <v>81</v>
      </c>
      <c r="F36" t="s">
        <v>82</v>
      </c>
    </row>
    <row r="37" spans="1:6" x14ac:dyDescent="0.25">
      <c r="A37" t="s">
        <v>99</v>
      </c>
      <c r="B37" s="1">
        <v>2</v>
      </c>
      <c r="C37" s="1" t="s">
        <v>100</v>
      </c>
      <c r="D37" t="s">
        <v>100</v>
      </c>
      <c r="E37" t="s">
        <v>101</v>
      </c>
    </row>
    <row r="38" spans="1:6" x14ac:dyDescent="0.25">
      <c r="A38" t="s">
        <v>20</v>
      </c>
      <c r="B38" s="1">
        <v>1</v>
      </c>
      <c r="C38" s="1" t="s">
        <v>21</v>
      </c>
      <c r="D38" t="s">
        <v>10</v>
      </c>
      <c r="E38" t="s">
        <v>11</v>
      </c>
      <c r="F38" t="s">
        <v>12</v>
      </c>
    </row>
    <row r="39" spans="1:6" x14ac:dyDescent="0.25">
      <c r="A39" t="s">
        <v>26</v>
      </c>
      <c r="B39" s="1">
        <v>1</v>
      </c>
      <c r="C39" s="1" t="s">
        <v>27</v>
      </c>
      <c r="D39" t="s">
        <v>23</v>
      </c>
      <c r="E39" t="s">
        <v>24</v>
      </c>
      <c r="F39" t="s">
        <v>28</v>
      </c>
    </row>
    <row r="40" spans="1:6" x14ac:dyDescent="0.25">
      <c r="A40" t="s">
        <v>29</v>
      </c>
      <c r="B40" s="1">
        <v>1</v>
      </c>
      <c r="C40" s="1" t="s">
        <v>30</v>
      </c>
      <c r="D40" t="s">
        <v>23</v>
      </c>
      <c r="E40" t="s">
        <v>24</v>
      </c>
      <c r="F40" t="s">
        <v>28</v>
      </c>
    </row>
    <row r="41" spans="1:6" x14ac:dyDescent="0.25">
      <c r="A41" t="s">
        <v>56</v>
      </c>
      <c r="B41" s="1">
        <v>1</v>
      </c>
      <c r="C41" s="1" t="s">
        <v>57</v>
      </c>
      <c r="D41" t="s">
        <v>57</v>
      </c>
      <c r="E41" t="s">
        <v>58</v>
      </c>
      <c r="F41" t="s">
        <v>59</v>
      </c>
    </row>
    <row r="42" spans="1:6" x14ac:dyDescent="0.25">
      <c r="A42" t="s">
        <v>87</v>
      </c>
      <c r="B42" s="1">
        <v>1</v>
      </c>
      <c r="C42" s="1" t="s">
        <v>88</v>
      </c>
      <c r="D42" t="s">
        <v>88</v>
      </c>
      <c r="E42" t="s">
        <v>89</v>
      </c>
      <c r="F42" t="s">
        <v>90</v>
      </c>
    </row>
    <row r="43" spans="1:6" x14ac:dyDescent="0.25">
      <c r="A43" t="s">
        <v>102</v>
      </c>
      <c r="B43" s="1">
        <v>1</v>
      </c>
      <c r="C43" s="1" t="s">
        <v>103</v>
      </c>
      <c r="D43" t="s">
        <v>104</v>
      </c>
      <c r="E43" t="s">
        <v>105</v>
      </c>
      <c r="F43" t="s">
        <v>106</v>
      </c>
    </row>
    <row r="44" spans="1:6" x14ac:dyDescent="0.25">
      <c r="A44" t="s">
        <v>107</v>
      </c>
      <c r="B44" s="1">
        <v>1</v>
      </c>
      <c r="C44" s="1" t="s">
        <v>108</v>
      </c>
      <c r="D44" t="s">
        <v>104</v>
      </c>
      <c r="E44" t="s">
        <v>105</v>
      </c>
      <c r="F44" t="s">
        <v>106</v>
      </c>
    </row>
    <row r="45" spans="1:6" x14ac:dyDescent="0.25">
      <c r="A45" t="s">
        <v>115</v>
      </c>
      <c r="B45" s="1">
        <v>1</v>
      </c>
      <c r="C45" s="1">
        <v>300</v>
      </c>
      <c r="D45" t="s">
        <v>110</v>
      </c>
      <c r="E45" t="s">
        <v>111</v>
      </c>
      <c r="F45" t="s">
        <v>112</v>
      </c>
    </row>
    <row r="46" spans="1:6" x14ac:dyDescent="0.25">
      <c r="A46" t="s">
        <v>116</v>
      </c>
      <c r="B46" s="1">
        <v>1</v>
      </c>
      <c r="C46" s="1">
        <v>167</v>
      </c>
      <c r="D46" t="s">
        <v>110</v>
      </c>
      <c r="E46" t="s">
        <v>111</v>
      </c>
      <c r="F46" t="s">
        <v>112</v>
      </c>
    </row>
    <row r="47" spans="1:6" x14ac:dyDescent="0.25">
      <c r="A47" t="s">
        <v>142</v>
      </c>
      <c r="B47" s="1">
        <v>1</v>
      </c>
      <c r="C47" s="1" t="s">
        <v>143</v>
      </c>
      <c r="D47" t="s">
        <v>143</v>
      </c>
      <c r="E47" t="s">
        <v>144</v>
      </c>
      <c r="F47" t="s">
        <v>145</v>
      </c>
    </row>
    <row r="48" spans="1:6" x14ac:dyDescent="0.25">
      <c r="A48" t="s">
        <v>146</v>
      </c>
      <c r="B48" s="1">
        <v>1</v>
      </c>
      <c r="C48" s="1" t="s">
        <v>147</v>
      </c>
      <c r="D48" t="s">
        <v>147</v>
      </c>
      <c r="E48" t="s">
        <v>148</v>
      </c>
    </row>
    <row r="49" spans="1:6" x14ac:dyDescent="0.25">
      <c r="A49" t="s">
        <v>149</v>
      </c>
      <c r="B49" s="1">
        <v>1</v>
      </c>
      <c r="C49" s="1" t="s">
        <v>150</v>
      </c>
      <c r="D49" t="s">
        <v>150</v>
      </c>
      <c r="E49" t="s">
        <v>151</v>
      </c>
      <c r="F49" t="s">
        <v>152</v>
      </c>
    </row>
    <row r="50" spans="1:6" x14ac:dyDescent="0.25">
      <c r="A50" t="s">
        <v>153</v>
      </c>
      <c r="B50" s="1">
        <v>1</v>
      </c>
      <c r="C50" s="1" t="s">
        <v>154</v>
      </c>
      <c r="D50" t="s">
        <v>154</v>
      </c>
      <c r="E50" t="s">
        <v>155</v>
      </c>
    </row>
    <row r="51" spans="1:6" x14ac:dyDescent="0.25">
      <c r="A51" t="s">
        <v>156</v>
      </c>
      <c r="B51" s="1">
        <v>1</v>
      </c>
      <c r="C51" s="1" t="s">
        <v>157</v>
      </c>
      <c r="D51" t="s">
        <v>158</v>
      </c>
      <c r="E51" t="s">
        <v>159</v>
      </c>
      <c r="F51" t="s">
        <v>160</v>
      </c>
    </row>
    <row r="52" spans="1:6" x14ac:dyDescent="0.25">
      <c r="A52" t="s">
        <v>75</v>
      </c>
      <c r="B52" s="1">
        <v>1</v>
      </c>
      <c r="C52" s="1" t="s">
        <v>76</v>
      </c>
      <c r="D52" t="s">
        <v>76</v>
      </c>
      <c r="E52" t="s">
        <v>77</v>
      </c>
      <c r="F52" t="s">
        <v>78</v>
      </c>
    </row>
    <row r="53" spans="1:6" x14ac:dyDescent="0.25">
      <c r="A53" t="s">
        <v>64</v>
      </c>
      <c r="B53" s="1">
        <v>1</v>
      </c>
      <c r="C53" s="1" t="s">
        <v>65</v>
      </c>
      <c r="D53" t="s">
        <v>65</v>
      </c>
      <c r="E53" t="s">
        <v>66</v>
      </c>
    </row>
  </sheetData>
  <autoFilter ref="A1:G46">
    <sortState xmlns:xlrd2="http://schemas.microsoft.com/office/spreadsheetml/2017/richdata2" ref="A2:G53">
      <sortCondition descending="1" ref="B1:B4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usb_relay_control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mabdelnasser</dc:creator>
  <cp:lastModifiedBy>mabdelnasser</cp:lastModifiedBy>
  <dcterms:created xsi:type="dcterms:W3CDTF">2023-02-27T12:15:09Z</dcterms:created>
  <dcterms:modified xsi:type="dcterms:W3CDTF">2023-02-27T13:43:21Z</dcterms:modified>
</cp:coreProperties>
</file>